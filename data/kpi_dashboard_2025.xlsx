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s" sheetId="1" state="visible" r:id="rId1"/>
    <sheet xmlns:r="http://schemas.openxmlformats.org/officeDocument/2006/relationships" name="Atlas_Project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B71C1C"/>
      <sz val="16"/>
    </font>
    <font>
      <name val="Arial"/>
      <b val="1"/>
      <color rgb="00FFFFFF"/>
      <sz val="10"/>
    </font>
    <font>
      <name val="Arial"/>
      <b val="1"/>
      <color rgb="001A237E"/>
      <sz val="10"/>
    </font>
    <font>
      <name val="Arial"/>
      <sz val="10"/>
    </font>
    <font>
      <name val="Arial"/>
      <color rgb="00888888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0D47A1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004D40"/>
      <sz val="14"/>
    </font>
    <font>
      <name val="Arial"/>
      <i val="1"/>
      <color rgb="00B71C1C"/>
      <sz val="9"/>
    </font>
  </fonts>
  <fills count="5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E8EAF6"/>
      </patternFill>
    </fill>
    <fill>
      <patternFill patternType="solid">
        <fgColor rgb="00004D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NovaTech Solutions — KPI Dashboard FY2025</t>
        </is>
      </c>
    </row>
    <row r="2">
      <c r="A2" s="2" t="inlineStr">
        <is>
          <t>KPI Metric</t>
        </is>
      </c>
      <c r="B2" s="2" t="inlineStr">
        <is>
          <t>Q3 2024</t>
        </is>
      </c>
      <c r="C2" s="2" t="inlineStr">
        <is>
          <t>Q4 2024</t>
        </is>
      </c>
      <c r="D2" s="2" t="inlineStr">
        <is>
          <t>Q1 2025</t>
        </is>
      </c>
      <c r="E2" s="2" t="inlineStr">
        <is>
          <t>Q2 2025 Target</t>
        </is>
      </c>
      <c r="F2" s="2" t="inlineStr">
        <is>
          <t>FY2025 Target</t>
        </is>
      </c>
      <c r="G2" s="2" t="inlineStr">
        <is>
          <t>Status</t>
        </is>
      </c>
    </row>
    <row r="3">
      <c r="A3" s="3" t="inlineStr">
        <is>
          <t>--- REVENUE ---</t>
        </is>
      </c>
      <c r="B3" s="4" t="n"/>
      <c r="C3" s="4" t="n"/>
      <c r="D3" s="4" t="n"/>
      <c r="E3" s="4" t="n"/>
      <c r="F3" s="4" t="n"/>
      <c r="G3" s="5" t="inlineStr"/>
    </row>
    <row r="4">
      <c r="A4" s="6" t="inlineStr">
        <is>
          <t>Total Revenue ($M)</t>
        </is>
      </c>
      <c r="B4" s="4" t="n">
        <v>9.800000000000001</v>
      </c>
      <c r="C4" s="4" t="n">
        <v>11.2</v>
      </c>
      <c r="D4" s="4" t="n">
        <v>12.4</v>
      </c>
      <c r="E4" s="4" t="inlineStr">
        <is>
          <t>13.0-13.5</t>
        </is>
      </c>
      <c r="F4" s="4" t="inlineStr">
        <is>
          <t>52-55</t>
        </is>
      </c>
      <c r="G4" s="7" t="inlineStr">
        <is>
          <t>ABOVE TARGET</t>
        </is>
      </c>
    </row>
    <row r="5">
      <c r="A5" s="6" t="inlineStr">
        <is>
          <t>ARR ($M)</t>
        </is>
      </c>
      <c r="B5" s="4" t="n">
        <v>38.4</v>
      </c>
      <c r="C5" s="4" t="n">
        <v>44.2</v>
      </c>
      <c r="D5" s="4" t="n">
        <v>49.6</v>
      </c>
      <c r="E5" s="4" t="n">
        <v>53</v>
      </c>
      <c r="F5" s="4" t="n">
        <v>60</v>
      </c>
      <c r="G5" s="8" t="inlineStr">
        <is>
          <t>ON TRACK</t>
        </is>
      </c>
    </row>
    <row r="6">
      <c r="A6" s="6" t="inlineStr">
        <is>
          <t>New ARR ($M)</t>
        </is>
      </c>
      <c r="B6" s="4" t="n">
        <v>2.1</v>
      </c>
      <c r="C6" s="4" t="n">
        <v>3.2</v>
      </c>
      <c r="D6" s="4" t="n">
        <v>3.8</v>
      </c>
      <c r="E6" s="4" t="n">
        <v>3.5</v>
      </c>
      <c r="F6" s="4" t="n">
        <v>14</v>
      </c>
      <c r="G6" s="7" t="inlineStr">
        <is>
          <t>ABOVE TARGET</t>
        </is>
      </c>
    </row>
    <row r="7">
      <c r="A7" s="6" t="inlineStr">
        <is>
          <t>Churn Rate (%)</t>
        </is>
      </c>
      <c r="B7" s="4" t="n">
        <v>2.1</v>
      </c>
      <c r="C7" s="4" t="n">
        <v>1.8</v>
      </c>
      <c r="D7" s="4" t="n">
        <v>1.5</v>
      </c>
      <c r="E7" s="4" t="inlineStr">
        <is>
          <t>&lt;2.0</t>
        </is>
      </c>
      <c r="F7" s="4" t="inlineStr">
        <is>
          <t>&lt;2.0</t>
        </is>
      </c>
      <c r="G7" s="8" t="inlineStr">
        <is>
          <t>ON TRACK</t>
        </is>
      </c>
    </row>
    <row r="8">
      <c r="A8" s="6" t="inlineStr">
        <is>
          <t>Net Revenue Retention (%)</t>
        </is>
      </c>
      <c r="B8" s="4" t="n">
        <v>112</v>
      </c>
      <c r="C8" s="4" t="n">
        <v>118</v>
      </c>
      <c r="D8" s="4" t="n">
        <v>121</v>
      </c>
      <c r="E8" s="4" t="n">
        <v>115</v>
      </c>
      <c r="F8" s="4" t="n">
        <v>120</v>
      </c>
      <c r="G8" s="7" t="inlineStr">
        <is>
          <t>ABOVE TARGET</t>
        </is>
      </c>
    </row>
    <row r="9">
      <c r="A9" s="3" t="inlineStr">
        <is>
          <t>--- CUSTOMERS ---</t>
        </is>
      </c>
      <c r="B9" s="4" t="n"/>
      <c r="C9" s="4" t="n"/>
      <c r="D9" s="4" t="n"/>
      <c r="E9" s="4" t="n"/>
      <c r="F9" s="4" t="n"/>
      <c r="G9" s="5" t="inlineStr"/>
    </row>
    <row r="10">
      <c r="A10" s="6" t="inlineStr">
        <is>
          <t>Total Customers</t>
        </is>
      </c>
      <c r="B10" s="4" t="n">
        <v>98</v>
      </c>
      <c r="C10" s="4" t="n">
        <v>112</v>
      </c>
      <c r="D10" s="4" t="n">
        <v>128</v>
      </c>
      <c r="E10" s="4" t="n">
        <v>140</v>
      </c>
      <c r="F10" s="4" t="n">
        <v>175</v>
      </c>
      <c r="G10" s="8" t="inlineStr">
        <is>
          <t>ON TRACK</t>
        </is>
      </c>
    </row>
    <row r="11">
      <c r="A11" s="6" t="inlineStr">
        <is>
          <t>Enterprise Clients (Tier 1)</t>
        </is>
      </c>
      <c r="B11" s="4" t="n">
        <v>6</v>
      </c>
      <c r="C11" s="4" t="n">
        <v>8</v>
      </c>
      <c r="D11" s="4" t="n">
        <v>9</v>
      </c>
      <c r="E11" s="4" t="n">
        <v>11</v>
      </c>
      <c r="F11" s="4" t="n">
        <v>15</v>
      </c>
      <c r="G11" s="8" t="inlineStr">
        <is>
          <t>ON TRACK</t>
        </is>
      </c>
    </row>
    <row r="12">
      <c r="A12" s="6" t="inlineStr">
        <is>
          <t>NPS Score</t>
        </is>
      </c>
      <c r="B12" s="4" t="n">
        <v>42</v>
      </c>
      <c r="C12" s="4" t="n">
        <v>47</v>
      </c>
      <c r="D12" s="4" t="n">
        <v>51</v>
      </c>
      <c r="E12" s="4" t="n">
        <v>52</v>
      </c>
      <c r="F12" s="4" t="n">
        <v>55</v>
      </c>
      <c r="G12" s="8" t="inlineStr">
        <is>
          <t>ON TRACK</t>
        </is>
      </c>
    </row>
    <row r="13">
      <c r="A13" s="6" t="inlineStr">
        <is>
          <t>CSAT Score (/10)</t>
        </is>
      </c>
      <c r="B13" s="4" t="n">
        <v>7.8</v>
      </c>
      <c r="C13" s="4" t="n">
        <v>8.1</v>
      </c>
      <c r="D13" s="4" t="n">
        <v>8.300000000000001</v>
      </c>
      <c r="E13" s="4" t="n">
        <v>8.300000000000001</v>
      </c>
      <c r="F13" s="4" t="n">
        <v>8.5</v>
      </c>
      <c r="G13" s="8" t="inlineStr">
        <is>
          <t>ON TRACK</t>
        </is>
      </c>
    </row>
    <row r="14">
      <c r="A14" s="3" t="inlineStr">
        <is>
          <t>--- PRODUCT ---</t>
        </is>
      </c>
      <c r="B14" s="4" t="n"/>
      <c r="C14" s="4" t="n"/>
      <c r="D14" s="4" t="n"/>
      <c r="E14" s="4" t="n"/>
      <c r="F14" s="4" t="n"/>
      <c r="G14" s="5" t="inlineStr"/>
    </row>
    <row r="15">
      <c r="A15" s="6" t="inlineStr">
        <is>
          <t>API Uptime (%)</t>
        </is>
      </c>
      <c r="B15" s="4" t="n">
        <v>99.81999999999999</v>
      </c>
      <c r="C15" s="4" t="n">
        <v>99.91</v>
      </c>
      <c r="D15" s="4" t="n">
        <v>99.78</v>
      </c>
      <c r="E15" s="4" t="inlineStr">
        <is>
          <t>&gt;99.9</t>
        </is>
      </c>
      <c r="F15" s="4" t="inlineStr">
        <is>
          <t>&gt;99.9</t>
        </is>
      </c>
      <c r="G15" s="9" t="inlineStr">
        <is>
          <t>BELOW TARGET</t>
        </is>
      </c>
    </row>
    <row r="16">
      <c r="A16" s="6" t="inlineStr">
        <is>
          <t>p99 API Latency (ms)</t>
        </is>
      </c>
      <c r="B16" s="4" t="n">
        <v>410</v>
      </c>
      <c r="C16" s="4" t="n">
        <v>385</v>
      </c>
      <c r="D16" s="4" t="n">
        <v>428</v>
      </c>
      <c r="E16" s="4" t="inlineStr">
        <is>
          <t>&lt;400</t>
        </is>
      </c>
      <c r="F16" s="4" t="inlineStr">
        <is>
          <t>&lt;350</t>
        </is>
      </c>
      <c r="G16" s="10" t="inlineStr">
        <is>
          <t>AT RISK</t>
        </is>
      </c>
    </row>
    <row r="17">
      <c r="A17" s="6" t="inlineStr">
        <is>
          <t>Features Shipped</t>
        </is>
      </c>
      <c r="B17" s="4" t="n">
        <v>7</v>
      </c>
      <c r="C17" s="4" t="n">
        <v>9</v>
      </c>
      <c r="D17" s="4" t="n">
        <v>6</v>
      </c>
      <c r="E17" s="4" t="n">
        <v>8</v>
      </c>
      <c r="F17" s="4" t="n">
        <v>35</v>
      </c>
      <c r="G17" s="8" t="inlineStr">
        <is>
          <t>ON TRACK</t>
        </is>
      </c>
    </row>
    <row r="18">
      <c r="A18" s="6" t="inlineStr">
        <is>
          <t>Support Ticket MTTR (hrs)</t>
        </is>
      </c>
      <c r="B18" s="4" t="n">
        <v>8.199999999999999</v>
      </c>
      <c r="C18" s="4" t="n">
        <v>6.4</v>
      </c>
      <c r="D18" s="4" t="n">
        <v>5.1</v>
      </c>
      <c r="E18" s="4" t="inlineStr">
        <is>
          <t>&lt;6</t>
        </is>
      </c>
      <c r="F18" s="4" t="inlineStr">
        <is>
          <t>&lt;4</t>
        </is>
      </c>
      <c r="G18" s="7" t="inlineStr">
        <is>
          <t>ABOVE TARGET</t>
        </is>
      </c>
    </row>
    <row r="19">
      <c r="A19" s="3" t="inlineStr">
        <is>
          <t>--- FINANCIAL ---</t>
        </is>
      </c>
      <c r="B19" s="4" t="n"/>
      <c r="C19" s="4" t="n"/>
      <c r="D19" s="4" t="n"/>
      <c r="E19" s="4" t="n"/>
      <c r="F19" s="4" t="n"/>
      <c r="G19" s="5" t="inlineStr"/>
    </row>
    <row r="20">
      <c r="A20" s="6" t="inlineStr">
        <is>
          <t>Gross Margin (%)</t>
        </is>
      </c>
      <c r="B20" s="4" t="n">
        <v>66</v>
      </c>
      <c r="C20" s="4" t="n">
        <v>68</v>
      </c>
      <c r="D20" s="4" t="n">
        <v>71</v>
      </c>
      <c r="E20" s="4" t="n">
        <v>70</v>
      </c>
      <c r="F20" s="4" t="n">
        <v>72</v>
      </c>
      <c r="G20" s="7" t="inlineStr">
        <is>
          <t>ABOVE TARGET</t>
        </is>
      </c>
    </row>
    <row r="21">
      <c r="A21" s="6" t="inlineStr">
        <is>
          <t>EBITDA ($M)</t>
        </is>
      </c>
      <c r="B21" s="4" t="n">
        <v>0.9</v>
      </c>
      <c r="C21" s="4" t="n">
        <v>1.6</v>
      </c>
      <c r="D21" s="4" t="n">
        <v>2.1</v>
      </c>
      <c r="E21" s="4" t="n">
        <v>2</v>
      </c>
      <c r="F21" s="4" t="n">
        <v>9</v>
      </c>
      <c r="G21" s="7" t="inlineStr">
        <is>
          <t>ABOVE TARGET</t>
        </is>
      </c>
    </row>
    <row r="22">
      <c r="A22" s="6" t="inlineStr">
        <is>
          <t>CAC ($K)</t>
        </is>
      </c>
      <c r="B22" s="4" t="n">
        <v>42.1</v>
      </c>
      <c r="C22" s="4" t="n">
        <v>38.4</v>
      </c>
      <c r="D22" s="4" t="n">
        <v>35.1</v>
      </c>
      <c r="E22" s="4" t="inlineStr">
        <is>
          <t>&lt;40</t>
        </is>
      </c>
      <c r="F22" s="4" t="inlineStr">
        <is>
          <t>&lt;35</t>
        </is>
      </c>
      <c r="G22" s="8" t="inlineStr">
        <is>
          <t>ON TRACK</t>
        </is>
      </c>
    </row>
    <row r="23">
      <c r="A23" s="6" t="inlineStr">
        <is>
          <t>LTV:CAC Ratio</t>
        </is>
      </c>
      <c r="B23" s="4" t="n">
        <v>5.8</v>
      </c>
      <c r="C23" s="4" t="n">
        <v>6.4</v>
      </c>
      <c r="D23" s="4" t="n">
        <v>7.2</v>
      </c>
      <c r="E23" s="4" t="n">
        <v>6</v>
      </c>
      <c r="F23" s="4" t="n">
        <v>7.5</v>
      </c>
      <c r="G23" s="7" t="inlineStr">
        <is>
          <t>ABOVE TARGET</t>
        </is>
      </c>
    </row>
    <row r="24">
      <c r="A24" s="6" t="inlineStr">
        <is>
          <t>Cash Position ($M)</t>
        </is>
      </c>
      <c r="B24" s="4" t="n">
        <v>24.1</v>
      </c>
      <c r="C24" s="4" t="n">
        <v>26.4</v>
      </c>
      <c r="D24" s="4" t="n">
        <v>28.3</v>
      </c>
      <c r="E24" s="4" t="n">
        <v>28</v>
      </c>
      <c r="F24" s="4" t="n">
        <v>30</v>
      </c>
      <c r="G24" s="8" t="inlineStr">
        <is>
          <t>ON TRACK</t>
        </is>
      </c>
    </row>
    <row r="25">
      <c r="A25" s="3" t="inlineStr">
        <is>
          <t>--- PEOPLE ---</t>
        </is>
      </c>
      <c r="B25" s="4" t="n"/>
      <c r="C25" s="4" t="n"/>
      <c r="D25" s="4" t="n"/>
      <c r="E25" s="4" t="n"/>
      <c r="F25" s="4" t="n"/>
      <c r="G25" s="5" t="inlineStr"/>
    </row>
    <row r="26">
      <c r="A26" s="6" t="inlineStr">
        <is>
          <t>Total Headcount</t>
        </is>
      </c>
      <c r="B26" s="4" t="n">
        <v>174</v>
      </c>
      <c r="C26" s="4" t="n">
        <v>187</v>
      </c>
      <c r="D26" s="4" t="n">
        <v>201</v>
      </c>
      <c r="E26" s="4" t="n">
        <v>210</v>
      </c>
      <c r="F26" s="4" t="n">
        <v>230</v>
      </c>
      <c r="G26" s="8" t="inlineStr">
        <is>
          <t>ON TRACK</t>
        </is>
      </c>
    </row>
    <row r="27">
      <c r="A27" s="6" t="inlineStr">
        <is>
          <t>eNPS</t>
        </is>
      </c>
      <c r="B27" s="4" t="n">
        <v>38</v>
      </c>
      <c r="C27" s="4" t="n">
        <v>44</v>
      </c>
      <c r="D27" s="4" t="n">
        <v>46</v>
      </c>
      <c r="E27" s="4" t="n">
        <v>45</v>
      </c>
      <c r="F27" s="4" t="n">
        <v>50</v>
      </c>
      <c r="G27" s="8" t="inlineStr">
        <is>
          <t>ON TRACK</t>
        </is>
      </c>
    </row>
    <row r="28">
      <c r="A28" s="6" t="inlineStr">
        <is>
          <t>Attrition Rate (%)</t>
        </is>
      </c>
      <c r="B28" s="4" t="n">
        <v>12.4</v>
      </c>
      <c r="C28" s="4" t="n">
        <v>10.8</v>
      </c>
      <c r="D28" s="4" t="n">
        <v>9.199999999999999</v>
      </c>
      <c r="E28" s="4" t="inlineStr">
        <is>
          <t>&lt;11</t>
        </is>
      </c>
      <c r="F28" s="4" t="inlineStr">
        <is>
          <t>&lt;10</t>
        </is>
      </c>
      <c r="G28" s="7" t="inlineStr">
        <is>
          <t>ABOVE TARGET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1" t="inlineStr">
        <is>
          <t>Atlas Platform — Engineering KPIs Q1 2025</t>
        </is>
      </c>
    </row>
    <row r="2">
      <c r="A2" s="12" t="inlineStr">
        <is>
          <t>Metric</t>
        </is>
      </c>
      <c r="B2" s="12" t="inlineStr">
        <is>
          <t>Jan 2025</t>
        </is>
      </c>
      <c r="C2" s="12" t="inlineStr">
        <is>
          <t>Feb 2025</t>
        </is>
      </c>
      <c r="D2" s="12" t="inlineStr">
        <is>
          <t>Mar 2025</t>
        </is>
      </c>
      <c r="E2" s="12" t="inlineStr">
        <is>
          <t>Q1 Avg</t>
        </is>
      </c>
      <c r="F2" s="12" t="inlineStr">
        <is>
          <t>Target</t>
        </is>
      </c>
    </row>
    <row r="3">
      <c r="A3" s="13" t="inlineStr">
        <is>
          <t>API Uptime (%)</t>
        </is>
      </c>
      <c r="B3" s="4" t="n">
        <v>99.95</v>
      </c>
      <c r="C3" s="4" t="n">
        <v>99.98</v>
      </c>
      <c r="D3" s="4" t="n">
        <v>99.41</v>
      </c>
      <c r="E3" s="14">
        <f>AVERAGE(B3:D3)</f>
        <v/>
      </c>
      <c r="F3" s="4" t="n">
        <v>99.90000000000001</v>
      </c>
    </row>
    <row r="4">
      <c r="A4" s="13" t="inlineStr">
        <is>
          <t>Deployment Frequency (per week)</t>
        </is>
      </c>
      <c r="B4" s="4" t="n">
        <v>3.2</v>
      </c>
      <c r="C4" s="4" t="n">
        <v>4.1</v>
      </c>
      <c r="D4" s="4" t="n">
        <v>3.8</v>
      </c>
      <c r="E4" s="14">
        <f>AVERAGE(B4:D4)</f>
        <v/>
      </c>
      <c r="F4" s="4" t="n">
        <v>4</v>
      </c>
    </row>
    <row r="5">
      <c r="A5" s="13" t="inlineStr">
        <is>
          <t>Mean Time to Recovery (min)</t>
        </is>
      </c>
      <c r="B5" s="4" t="n">
        <v>42</v>
      </c>
      <c r="C5" s="4" t="n">
        <v>38</v>
      </c>
      <c r="D5" s="4" t="n">
        <v>154</v>
      </c>
      <c r="E5" s="14">
        <f>AVERAGE(B5:D5)</f>
        <v/>
      </c>
      <c r="F5" s="4" t="n">
        <v>30</v>
      </c>
    </row>
    <row r="6">
      <c r="A6" s="13" t="inlineStr">
        <is>
          <t>Error Rate (%)</t>
        </is>
      </c>
      <c r="B6" s="4" t="n">
        <v>0.08</v>
      </c>
      <c r="C6" s="4" t="n">
        <v>0.06</v>
      </c>
      <c r="D6" s="4" t="n">
        <v>0.18</v>
      </c>
      <c r="E6" s="14">
        <f>AVERAGE(B6:D6)</f>
        <v/>
      </c>
      <c r="F6" s="4" t="n">
        <v>0.1</v>
      </c>
    </row>
    <row r="7">
      <c r="A7" s="13" t="inlineStr">
        <is>
          <t>p50 Latency (ms)</t>
        </is>
      </c>
      <c r="B7" s="4" t="n">
        <v>142</v>
      </c>
      <c r="C7" s="4" t="n">
        <v>138</v>
      </c>
      <c r="D7" s="4" t="n">
        <v>151</v>
      </c>
      <c r="E7" s="14">
        <f>AVERAGE(B7:D7)</f>
        <v/>
      </c>
      <c r="F7" s="4" t="n">
        <v>150</v>
      </c>
    </row>
    <row r="8">
      <c r="A8" s="13" t="inlineStr">
        <is>
          <t>p99 Latency (ms)</t>
        </is>
      </c>
      <c r="B8" s="4" t="n">
        <v>385</v>
      </c>
      <c r="C8" s="4" t="n">
        <v>371</v>
      </c>
      <c r="D8" s="4" t="n">
        <v>528</v>
      </c>
      <c r="E8" s="14">
        <f>AVERAGE(B8:D8)</f>
        <v/>
      </c>
      <c r="F8" s="4" t="n">
        <v>400</v>
      </c>
    </row>
    <row r="9">
      <c r="A9" s="13" t="inlineStr">
        <is>
          <t>Inference Jobs Processed (K)</t>
        </is>
      </c>
      <c r="B9" s="4" t="n">
        <v>842</v>
      </c>
      <c r="C9" s="4" t="n">
        <v>934</v>
      </c>
      <c r="D9" s="4" t="n">
        <v>1107</v>
      </c>
      <c r="E9" s="14">
        <f>AVERAGE(B9:D9)</f>
        <v/>
      </c>
      <c r="F9" s="4" t="n">
        <v>900</v>
      </c>
    </row>
    <row r="10">
      <c r="A10" s="13" t="inlineStr">
        <is>
          <t>Open Critical Bugs</t>
        </is>
      </c>
      <c r="B10" s="4" t="n">
        <v>2</v>
      </c>
      <c r="C10" s="4" t="n">
        <v>1</v>
      </c>
      <c r="D10" s="4" t="n">
        <v>3</v>
      </c>
      <c r="E10" s="14">
        <f>AVERAGE(B10:D10)</f>
        <v/>
      </c>
      <c r="F10" s="4" t="n">
        <v>0</v>
      </c>
    </row>
    <row r="11">
      <c r="A11" s="13" t="inlineStr">
        <is>
          <t>Test Coverage (%)</t>
        </is>
      </c>
      <c r="B11" s="4" t="n">
        <v>78</v>
      </c>
      <c r="C11" s="4" t="n">
        <v>81</v>
      </c>
      <c r="D11" s="4" t="n">
        <v>83</v>
      </c>
      <c r="E11" s="14">
        <f>AVERAGE(B11:D11)</f>
        <v/>
      </c>
      <c r="F11" s="4" t="n">
        <v>80</v>
      </c>
    </row>
    <row r="12">
      <c r="A12" s="13" t="inlineStr">
        <is>
          <t>Security Vulnerabilities (HIGH+)</t>
        </is>
      </c>
      <c r="B12" s="4" t="n">
        <v>0</v>
      </c>
      <c r="C12" s="4" t="n">
        <v>0</v>
      </c>
      <c r="D12" s="4" t="n">
        <v>1</v>
      </c>
      <c r="E12" s="14">
        <f>AVERAGE(B12:D12)</f>
        <v/>
      </c>
      <c r="F12" s="4" t="n">
        <v>0</v>
      </c>
    </row>
    <row r="14">
      <c r="A14" s="15" t="inlineStr">
        <is>
          <t>NOTE: March anomalies (MTTR 154min, p99 528ms, Error Rate 0.18%) caused by INC-2025-0187 production outage on April 14. See incident_report_INC_2025_0187.docx for details.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2026-05-27T18:39:40Z</dcterms:created>
  <dcterms:modified xmlns:dcterms="http://purl.org/dc/terms/" xmlns:xsi="http://www.w3.org/2001/XMLSchema-instance" xsi:type="dcterms:W3CDTF">2026-05-27T18:39:40Z</dcterms:modified>
</cp:coreProperties>
</file>