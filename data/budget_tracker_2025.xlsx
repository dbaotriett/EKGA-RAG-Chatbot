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2025_Budget" sheetId="1" state="visible" r:id="rId1"/>
    <sheet xmlns:r="http://schemas.openxmlformats.org/officeDocument/2006/relationships" name="Q2_2025_Budget" sheetId="2" state="visible" r:id="rId2"/>
    <sheet xmlns:r="http://schemas.openxmlformats.org/officeDocument/2006/relationships" name="Head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1A237E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D47A1"/>
      <sz val="10"/>
    </font>
    <font>
      <name val="Arial"/>
      <i val="1"/>
      <color rgb="00555555"/>
      <sz val="9"/>
    </font>
    <font>
      <name val="Arial"/>
      <b val="1"/>
      <color rgb="00CC0000"/>
      <sz val="10"/>
    </font>
    <font>
      <name val="Arial"/>
      <b val="1"/>
      <color rgb="001B5E20"/>
      <sz val="10"/>
    </font>
    <font>
      <name val="Arial"/>
      <b val="1"/>
      <sz val="11"/>
    </font>
    <font>
      <name val="Arial"/>
      <b val="1"/>
      <sz val="10"/>
    </font>
    <font>
      <name val="Arial"/>
      <b val="1"/>
      <color rgb="00004D40"/>
      <sz val="14"/>
    </font>
    <font>
      <name val="Arial"/>
      <sz val="9"/>
    </font>
    <font>
      <name val="Arial"/>
      <b val="1"/>
      <color rgb="004A148C"/>
      <sz val="14"/>
    </font>
  </fonts>
  <fills count="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3F2FD"/>
      </patternFill>
    </fill>
    <fill>
      <patternFill patternType="solid">
        <fgColor rgb="00004D40"/>
      </patternFill>
    </fill>
    <fill>
      <patternFill patternType="solid">
        <fgColor rgb="00E8F5E9"/>
      </patternFill>
    </fill>
    <fill>
      <patternFill patternType="solid">
        <fgColor rgb="004A148C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9" fillId="3" borderId="1" pivotButton="0" quotePrefix="0" xfId="0"/>
    <xf numFmtId="164" fontId="9" fillId="3" borderId="1" pivotButton="0" quotePrefix="0" xfId="0"/>
    <xf numFmtId="165" fontId="9" fillId="3" borderId="1" pivotButton="0" quotePrefix="0" xfId="0"/>
    <xf numFmtId="0" fontId="1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0" fontId="11" fillId="0" borderId="1" pivotButton="0" quotePrefix="0" xfId="0"/>
    <xf numFmtId="0" fontId="8" fillId="5" borderId="1" pivotButton="0" quotePrefix="0" xfId="0"/>
    <xf numFmtId="164" fontId="9" fillId="5" borderId="1" pivotButton="0" quotePrefix="0" xfId="0"/>
    <xf numFmtId="165" fontId="9" fillId="5" borderId="1" pivotButton="0" quotePrefix="0" xfId="0"/>
    <xf numFmtId="0" fontId="0" fillId="5" borderId="1" pivotButton="0" quotePrefix="0" xfId="0"/>
    <xf numFmtId="0" fontId="12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8" fillId="7" borderId="0" pivotButton="0" quotePrefix="0" xfId="0"/>
    <xf numFmtId="0" fontId="9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</cols>
  <sheetData>
    <row r="1" ht="28" customHeight="1">
      <c r="A1" s="1" t="inlineStr">
        <is>
          <t>NovaTech Solutions — Q1 2025 Budget vs Actuals</t>
        </is>
      </c>
    </row>
    <row r="2">
      <c r="A2" s="2" t="inlineStr">
        <is>
          <t>Department</t>
        </is>
      </c>
      <c r="B2" s="2" t="inlineStr">
        <is>
          <t>Q1 Budget ($)</t>
        </is>
      </c>
      <c r="C2" s="2" t="inlineStr">
        <is>
          <t>Q1 Actuals ($)</t>
        </is>
      </c>
      <c r="D2" s="2" t="inlineStr">
        <is>
          <t>Variance ($)</t>
        </is>
      </c>
      <c r="E2" s="2" t="inlineStr">
        <is>
          <t>Variance (%)</t>
        </is>
      </c>
      <c r="F2" s="2" t="inlineStr">
        <is>
          <t>Budget Status</t>
        </is>
      </c>
      <c r="G2" s="2" t="inlineStr">
        <is>
          <t>Notes</t>
        </is>
      </c>
    </row>
    <row r="3">
      <c r="A3" s="3" t="inlineStr">
        <is>
          <t>Engineering</t>
        </is>
      </c>
      <c r="B3" s="4" t="n">
        <v>1200000</v>
      </c>
      <c r="C3" s="4" t="n">
        <v>1185000</v>
      </c>
      <c r="D3" s="4">
        <f>C3-B3</f>
        <v/>
      </c>
      <c r="E3" s="5">
        <f>(C3-B3)/B3</f>
        <v/>
      </c>
      <c r="F3" s="6" t="inlineStr">
        <is>
          <t>ON TRACK</t>
        </is>
      </c>
      <c r="G3" s="7" t="inlineStr">
        <is>
          <t>Under budget: 2 open headcount positions</t>
        </is>
      </c>
    </row>
    <row r="4">
      <c r="A4" s="3" t="inlineStr">
        <is>
          <t>AI / ML Research</t>
        </is>
      </c>
      <c r="B4" s="4" t="n">
        <v>950000</v>
      </c>
      <c r="C4" s="4" t="n">
        <v>1020000</v>
      </c>
      <c r="D4" s="4">
        <f>C4-B4</f>
        <v/>
      </c>
      <c r="E4" s="5">
        <f>(C4-B4)/B4</f>
        <v/>
      </c>
      <c r="F4" s="8" t="inlineStr">
        <is>
          <t>OVER BUDGET</t>
        </is>
      </c>
      <c r="G4" s="7" t="inlineStr">
        <is>
          <t>Over budget due to GPU compute for Atlas Finetune</t>
        </is>
      </c>
    </row>
    <row r="5">
      <c r="A5" s="3" t="inlineStr">
        <is>
          <t>Sales &amp; Marketing</t>
        </is>
      </c>
      <c r="B5" s="4" t="n">
        <v>800000</v>
      </c>
      <c r="C5" s="4" t="n">
        <v>780000</v>
      </c>
      <c r="D5" s="4">
        <f>C5-B5</f>
        <v/>
      </c>
      <c r="E5" s="5">
        <f>(C5-B5)/B5</f>
        <v/>
      </c>
      <c r="F5" s="6" t="inlineStr">
        <is>
          <t>ON TRACK</t>
        </is>
      </c>
      <c r="G5" s="7" t="inlineStr"/>
    </row>
    <row r="6">
      <c r="A6" s="3" t="inlineStr">
        <is>
          <t>DevOps / Infrastructure</t>
        </is>
      </c>
      <c r="B6" s="4" t="n">
        <v>600000</v>
      </c>
      <c r="C6" s="4" t="n">
        <v>648000</v>
      </c>
      <c r="D6" s="4">
        <f>C6-B6</f>
        <v/>
      </c>
      <c r="E6" s="5">
        <f>(C6-B6)/B6</f>
        <v/>
      </c>
      <c r="F6" s="8" t="inlineStr">
        <is>
          <t>OVER BUDGET</t>
        </is>
      </c>
      <c r="G6" s="7" t="inlineStr">
        <is>
          <t>Over budget: HealthFirst onboarding infra</t>
        </is>
      </c>
    </row>
    <row r="7">
      <c r="A7" s="3" t="inlineStr">
        <is>
          <t>HR &amp; People</t>
        </is>
      </c>
      <c r="B7" s="4" t="n">
        <v>220000</v>
      </c>
      <c r="C7" s="4" t="n">
        <v>215000</v>
      </c>
      <c r="D7" s="4">
        <f>C7-B7</f>
        <v/>
      </c>
      <c r="E7" s="5">
        <f>(C7-B7)/B7</f>
        <v/>
      </c>
      <c r="F7" s="6" t="inlineStr">
        <is>
          <t>ON TRACK</t>
        </is>
      </c>
      <c r="G7" s="7" t="inlineStr"/>
    </row>
    <row r="8">
      <c r="A8" s="3" t="inlineStr">
        <is>
          <t>Finance</t>
        </is>
      </c>
      <c r="B8" s="4" t="n">
        <v>180000</v>
      </c>
      <c r="C8" s="4" t="n">
        <v>177000</v>
      </c>
      <c r="D8" s="4">
        <f>C8-B8</f>
        <v/>
      </c>
      <c r="E8" s="5">
        <f>(C8-B8)/B8</f>
        <v/>
      </c>
      <c r="F8" s="6" t="inlineStr">
        <is>
          <t>ON TRACK</t>
        </is>
      </c>
      <c r="G8" s="7" t="inlineStr"/>
    </row>
    <row r="9">
      <c r="A9" s="3" t="inlineStr">
        <is>
          <t>Legal / Compliance</t>
        </is>
      </c>
      <c r="B9" s="4" t="n">
        <v>150000</v>
      </c>
      <c r="C9" s="4" t="n">
        <v>142000</v>
      </c>
      <c r="D9" s="4">
        <f>C9-B9</f>
        <v/>
      </c>
      <c r="E9" s="5">
        <f>(C9-B9)/B9</f>
        <v/>
      </c>
      <c r="F9" s="9" t="inlineStr">
        <is>
          <t>UNDER BUDGET</t>
        </is>
      </c>
      <c r="G9" s="7" t="inlineStr"/>
    </row>
    <row r="10">
      <c r="A10" s="3" t="inlineStr">
        <is>
          <t>Product Management</t>
        </is>
      </c>
      <c r="B10" s="4" t="n">
        <v>300000</v>
      </c>
      <c r="C10" s="4" t="n">
        <v>292000</v>
      </c>
      <c r="D10" s="4">
        <f>C10-B10</f>
        <v/>
      </c>
      <c r="E10" s="5">
        <f>(C10-B10)/B10</f>
        <v/>
      </c>
      <c r="F10" s="6" t="inlineStr">
        <is>
          <t>ON TRACK</t>
        </is>
      </c>
      <c r="G10" s="7" t="inlineStr"/>
    </row>
    <row r="11">
      <c r="A11" s="3" t="inlineStr">
        <is>
          <t>Customer Success</t>
        </is>
      </c>
      <c r="B11" s="4" t="n">
        <v>200000</v>
      </c>
      <c r="C11" s="4" t="n">
        <v>198000</v>
      </c>
      <c r="D11" s="4">
        <f>C11-B11</f>
        <v/>
      </c>
      <c r="E11" s="5">
        <f>(C11-B11)/B11</f>
        <v/>
      </c>
      <c r="F11" s="6" t="inlineStr">
        <is>
          <t>ON TRACK</t>
        </is>
      </c>
      <c r="G11" s="7" t="inlineStr"/>
    </row>
    <row r="12">
      <c r="A12" s="3" t="inlineStr">
        <is>
          <t>Security</t>
        </is>
      </c>
      <c r="B12" s="4" t="n">
        <v>180000</v>
      </c>
      <c r="C12" s="4" t="n">
        <v>165000</v>
      </c>
      <c r="D12" s="4">
        <f>C12-B12</f>
        <v/>
      </c>
      <c r="E12" s="5">
        <f>(C12-B12)/B12</f>
        <v/>
      </c>
      <c r="F12" s="9" t="inlineStr">
        <is>
          <t>UNDER BUDGET</t>
        </is>
      </c>
      <c r="G12" s="7" t="inlineStr"/>
    </row>
    <row r="13">
      <c r="A13" s="10" t="inlineStr">
        <is>
          <t>TOTAL</t>
        </is>
      </c>
      <c r="B13" s="11">
        <f>SUM(B3:B12)</f>
        <v/>
      </c>
      <c r="C13" s="11">
        <f>SUM(C3:C12)</f>
        <v/>
      </c>
      <c r="D13" s="11">
        <f>C13-B13</f>
        <v/>
      </c>
      <c r="E13" s="12">
        <f>(C13-B13)/B13</f>
        <v/>
      </c>
      <c r="F13" s="10" t="n"/>
      <c r="G13" s="10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</cols>
  <sheetData>
    <row r="1" ht="28" customHeight="1">
      <c r="A1" s="13" t="inlineStr">
        <is>
          <t>NovaTech Solutions — Q2 2025 Budget (Planned)</t>
        </is>
      </c>
    </row>
    <row r="2">
      <c r="A2" s="14" t="inlineStr">
        <is>
          <t>Department</t>
        </is>
      </c>
      <c r="B2" s="14" t="inlineStr">
        <is>
          <t>Q1 Actuals ($)</t>
        </is>
      </c>
      <c r="C2" s="14" t="inlineStr">
        <is>
          <t>Q2 Budget ($)</t>
        </is>
      </c>
      <c r="D2" s="14" t="inlineStr">
        <is>
          <t>QoQ Change ($)</t>
        </is>
      </c>
      <c r="E2" s="14" t="inlineStr">
        <is>
          <t>QoQ Change (%)</t>
        </is>
      </c>
      <c r="F2" s="14" t="inlineStr">
        <is>
          <t>Rationale</t>
        </is>
      </c>
      <c r="G2" s="14" t="inlineStr">
        <is>
          <t>Approved By</t>
        </is>
      </c>
    </row>
    <row r="3">
      <c r="A3" s="3" t="inlineStr">
        <is>
          <t>Engineering</t>
        </is>
      </c>
      <c r="B3" s="4" t="n">
        <v>1185000</v>
      </c>
      <c r="C3" s="4" t="n">
        <v>1350000</v>
      </c>
      <c r="D3" s="4">
        <f>C3-B3</f>
        <v/>
      </c>
      <c r="E3" s="5">
        <f>(C3-B3)/B3</f>
        <v/>
      </c>
      <c r="F3" s="7" t="inlineStr">
        <is>
          <t>Atlas API v4.2 headcount</t>
        </is>
      </c>
      <c r="G3" s="15" t="inlineStr">
        <is>
          <t>CFO Linda Zhao</t>
        </is>
      </c>
    </row>
    <row r="4">
      <c r="A4" s="3" t="inlineStr">
        <is>
          <t>AI / ML Research</t>
        </is>
      </c>
      <c r="B4" s="4" t="n">
        <v>1020000</v>
      </c>
      <c r="C4" s="4" t="n">
        <v>1100000</v>
      </c>
      <c r="D4" s="4">
        <f>C4-B4</f>
        <v/>
      </c>
      <c r="E4" s="5">
        <f>(C4-B4)/B4</f>
        <v/>
      </c>
      <c r="F4" s="7" t="inlineStr">
        <is>
          <t>GPU compute expansion</t>
        </is>
      </c>
      <c r="G4" s="15" t="inlineStr">
        <is>
          <t>CFO Linda Zhao</t>
        </is>
      </c>
    </row>
    <row r="5">
      <c r="A5" s="3" t="inlineStr">
        <is>
          <t>Sales &amp; Marketing</t>
        </is>
      </c>
      <c r="B5" s="4" t="n">
        <v>780000</v>
      </c>
      <c r="C5" s="4" t="n">
        <v>900000</v>
      </c>
      <c r="D5" s="4">
        <f>C5-B5</f>
        <v/>
      </c>
      <c r="E5" s="5">
        <f>(C5-B5)/B5</f>
        <v/>
      </c>
      <c r="F5" s="7" t="inlineStr">
        <is>
          <t>Q2 campaigns + conference</t>
        </is>
      </c>
      <c r="G5" s="15" t="inlineStr">
        <is>
          <t>CFO Linda Zhao</t>
        </is>
      </c>
    </row>
    <row r="6">
      <c r="A6" s="3" t="inlineStr">
        <is>
          <t>DevOps / Infrastructure</t>
        </is>
      </c>
      <c r="B6" s="4" t="n">
        <v>648000</v>
      </c>
      <c r="C6" s="4" t="n">
        <v>620000</v>
      </c>
      <c r="D6" s="4">
        <f>C6-B6</f>
        <v/>
      </c>
      <c r="E6" s="5">
        <f>(C6-B6)/B6</f>
        <v/>
      </c>
      <c r="F6" s="7" t="inlineStr">
        <is>
          <t>HealthFirst infra normalized</t>
        </is>
      </c>
      <c r="G6" s="15" t="inlineStr">
        <is>
          <t>CFO Linda Zhao</t>
        </is>
      </c>
    </row>
    <row r="7">
      <c r="A7" s="3" t="inlineStr">
        <is>
          <t>HR &amp; People</t>
        </is>
      </c>
      <c r="B7" s="4" t="n">
        <v>215000</v>
      </c>
      <c r="C7" s="4" t="n">
        <v>225000</v>
      </c>
      <c r="D7" s="4">
        <f>C7-B7</f>
        <v/>
      </c>
      <c r="E7" s="5">
        <f>(C7-B7)/B7</f>
        <v/>
      </c>
      <c r="F7" s="7" t="inlineStr">
        <is>
          <t>Hiring spike (15 open roles)</t>
        </is>
      </c>
      <c r="G7" s="15" t="inlineStr">
        <is>
          <t>CFO Linda Zhao</t>
        </is>
      </c>
    </row>
    <row r="8">
      <c r="A8" s="3" t="inlineStr">
        <is>
          <t>Finance</t>
        </is>
      </c>
      <c r="B8" s="4" t="n">
        <v>177000</v>
      </c>
      <c r="C8" s="4" t="n">
        <v>180000</v>
      </c>
      <c r="D8" s="4">
        <f>C8-B8</f>
        <v/>
      </c>
      <c r="E8" s="5">
        <f>(C8-B8)/B8</f>
        <v/>
      </c>
      <c r="F8" s="7" t="inlineStr">
        <is>
          <t>Audit costs</t>
        </is>
      </c>
      <c r="G8" s="15" t="inlineStr">
        <is>
          <t>CFO Linda Zhao</t>
        </is>
      </c>
    </row>
    <row r="9">
      <c r="A9" s="3" t="inlineStr">
        <is>
          <t>Legal / Compliance</t>
        </is>
      </c>
      <c r="B9" s="4" t="n">
        <v>142000</v>
      </c>
      <c r="C9" s="4" t="n">
        <v>200000</v>
      </c>
      <c r="D9" s="4">
        <f>C9-B9</f>
        <v/>
      </c>
      <c r="E9" s="5">
        <f>(C9-B9)/B9</f>
        <v/>
      </c>
      <c r="F9" s="7" t="inlineStr">
        <is>
          <t>HIPAA certification prep</t>
        </is>
      </c>
      <c r="G9" s="15" t="inlineStr">
        <is>
          <t>CFO Linda Zhao</t>
        </is>
      </c>
    </row>
    <row r="10">
      <c r="A10" s="3" t="inlineStr">
        <is>
          <t>Product Management</t>
        </is>
      </c>
      <c r="B10" s="4" t="n">
        <v>292000</v>
      </c>
      <c r="C10" s="4" t="n">
        <v>310000</v>
      </c>
      <c r="D10" s="4">
        <f>C10-B10</f>
        <v/>
      </c>
      <c r="E10" s="5">
        <f>(C10-B10)/B10</f>
        <v/>
      </c>
      <c r="F10" s="7" t="inlineStr">
        <is>
          <t>UX research budget</t>
        </is>
      </c>
      <c r="G10" s="15" t="inlineStr">
        <is>
          <t>CFO Linda Zhao</t>
        </is>
      </c>
    </row>
    <row r="11">
      <c r="A11" s="3" t="inlineStr">
        <is>
          <t>Customer Success</t>
        </is>
      </c>
      <c r="B11" s="4" t="n">
        <v>198000</v>
      </c>
      <c r="C11" s="4" t="n">
        <v>220000</v>
      </c>
      <c r="D11" s="4">
        <f>C11-B11</f>
        <v/>
      </c>
      <c r="E11" s="5">
        <f>(C11-B11)/B11</f>
        <v/>
      </c>
      <c r="F11" s="7" t="inlineStr">
        <is>
          <t>New CSM hires (2 FTE)</t>
        </is>
      </c>
      <c r="G11" s="15" t="inlineStr">
        <is>
          <t>CFO Linda Zhao</t>
        </is>
      </c>
    </row>
    <row r="12">
      <c r="A12" s="3" t="inlineStr">
        <is>
          <t>Security</t>
        </is>
      </c>
      <c r="B12" s="4" t="n">
        <v>165000</v>
      </c>
      <c r="C12" s="4" t="n">
        <v>190000</v>
      </c>
      <c r="D12" s="4">
        <f>C12-B12</f>
        <v/>
      </c>
      <c r="E12" s="5">
        <f>(C12-B12)/B12</f>
        <v/>
      </c>
      <c r="F12" s="7" t="inlineStr">
        <is>
          <t>Pen test + SOC2 renewal</t>
        </is>
      </c>
      <c r="G12" s="15" t="inlineStr">
        <is>
          <t>CFO Linda Zhao</t>
        </is>
      </c>
    </row>
    <row r="13">
      <c r="A13" s="16" t="inlineStr">
        <is>
          <t>TOTAL</t>
        </is>
      </c>
      <c r="B13" s="17">
        <f>SUM(B3:B12)</f>
        <v/>
      </c>
      <c r="C13" s="17">
        <f>SUM(C3:C12)</f>
        <v/>
      </c>
      <c r="D13" s="17">
        <f>SUM(D3:D12)</f>
        <v/>
      </c>
      <c r="E13" s="18">
        <f>(C13-B13)/B13</f>
        <v/>
      </c>
      <c r="F13" s="19" t="n"/>
      <c r="G13" s="19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</cols>
  <sheetData>
    <row r="1" ht="28" customHeight="1">
      <c r="A1" s="20" t="inlineStr">
        <is>
          <t>NovaTech Headcount — Q1 2025</t>
        </is>
      </c>
    </row>
    <row r="2">
      <c r="A2" s="21" t="inlineStr">
        <is>
          <t>Department</t>
        </is>
      </c>
      <c r="B2" s="21" t="inlineStr">
        <is>
          <t>Q4 2024 HC</t>
        </is>
      </c>
      <c r="C2" s="21" t="inlineStr">
        <is>
          <t>Q1 2025 HC</t>
        </is>
      </c>
      <c r="D2" s="21" t="inlineStr">
        <is>
          <t>Open Roles</t>
        </is>
      </c>
      <c r="E2" s="21" t="inlineStr">
        <is>
          <t>Q2 2025 Target</t>
        </is>
      </c>
      <c r="F2" s="21" t="inlineStr">
        <is>
          <t>Notes</t>
        </is>
      </c>
    </row>
    <row r="3">
      <c r="A3" s="3" t="inlineStr">
        <is>
          <t>Engineering</t>
        </is>
      </c>
      <c r="B3" s="22" t="n">
        <v>52</v>
      </c>
      <c r="C3" s="22" t="n">
        <v>55</v>
      </c>
      <c r="D3" s="22" t="n">
        <v>4</v>
      </c>
      <c r="E3" s="22" t="n">
        <v>59</v>
      </c>
      <c r="F3" s="3" t="inlineStr">
        <is>
          <t>Atlas API + Finetune teams</t>
        </is>
      </c>
    </row>
    <row r="4">
      <c r="A4" s="3" t="inlineStr">
        <is>
          <t>AI / ML Research</t>
        </is>
      </c>
      <c r="B4" s="22" t="n">
        <v>28</v>
      </c>
      <c r="C4" s="22" t="n">
        <v>31</v>
      </c>
      <c r="D4" s="22" t="n">
        <v>2</v>
      </c>
      <c r="E4" s="22" t="n">
        <v>33</v>
      </c>
      <c r="F4" s="3" t="inlineStr"/>
    </row>
    <row r="5">
      <c r="A5" s="3" t="inlineStr">
        <is>
          <t>Sales &amp; Marketing</t>
        </is>
      </c>
      <c r="B5" s="22" t="n">
        <v>35</v>
      </c>
      <c r="C5" s="22" t="n">
        <v>38</v>
      </c>
      <c r="D5" s="22" t="n">
        <v>3</v>
      </c>
      <c r="E5" s="22" t="n">
        <v>41</v>
      </c>
      <c r="F5" s="3" t="inlineStr"/>
    </row>
    <row r="6">
      <c r="A6" s="3" t="inlineStr">
        <is>
          <t>DevOps / Infrastructure</t>
        </is>
      </c>
      <c r="B6" s="22" t="n">
        <v>18</v>
      </c>
      <c r="C6" s="22" t="n">
        <v>19</v>
      </c>
      <c r="D6" s="22" t="n">
        <v>1</v>
      </c>
      <c r="E6" s="22" t="n">
        <v>20</v>
      </c>
      <c r="F6" s="3" t="inlineStr">
        <is>
          <t>Johnny Kim added Q1</t>
        </is>
      </c>
    </row>
    <row r="7">
      <c r="A7" s="3" t="inlineStr">
        <is>
          <t>HR &amp; People</t>
        </is>
      </c>
      <c r="B7" s="22" t="n">
        <v>12</v>
      </c>
      <c r="C7" s="22" t="n">
        <v>13</v>
      </c>
      <c r="D7" s="22" t="n">
        <v>0</v>
      </c>
      <c r="E7" s="22" t="n">
        <v>13</v>
      </c>
      <c r="F7" s="3" t="inlineStr">
        <is>
          <t>Sarah Chen (VP)</t>
        </is>
      </c>
    </row>
    <row r="8">
      <c r="A8" s="3" t="inlineStr">
        <is>
          <t>Finance</t>
        </is>
      </c>
      <c r="B8" s="22" t="n">
        <v>10</v>
      </c>
      <c r="C8" s="22" t="n">
        <v>10</v>
      </c>
      <c r="D8" s="22" t="n">
        <v>0</v>
      </c>
      <c r="E8" s="22" t="n">
        <v>10</v>
      </c>
      <c r="F8" s="3" t="inlineStr"/>
    </row>
    <row r="9">
      <c r="A9" s="3" t="inlineStr">
        <is>
          <t>Legal / Compliance</t>
        </is>
      </c>
      <c r="B9" s="22" t="n">
        <v>6</v>
      </c>
      <c r="C9" s="22" t="n">
        <v>6</v>
      </c>
      <c r="D9" s="22" t="n">
        <v>1</v>
      </c>
      <c r="E9" s="22" t="n">
        <v>7</v>
      </c>
      <c r="F9" s="3" t="inlineStr">
        <is>
          <t>HIPAA hire planned</t>
        </is>
      </c>
    </row>
    <row r="10">
      <c r="A10" s="3" t="inlineStr">
        <is>
          <t>Product Management</t>
        </is>
      </c>
      <c r="B10" s="22" t="n">
        <v>14</v>
      </c>
      <c r="C10" s="22" t="n">
        <v>15</v>
      </c>
      <c r="D10" s="22" t="n">
        <v>1</v>
      </c>
      <c r="E10" s="22" t="n">
        <v>16</v>
      </c>
      <c r="F10" s="3" t="inlineStr"/>
    </row>
    <row r="11">
      <c r="A11" s="3" t="inlineStr">
        <is>
          <t>Customer Success</t>
        </is>
      </c>
      <c r="B11" s="22" t="n">
        <v>16</v>
      </c>
      <c r="C11" s="22" t="n">
        <v>18</v>
      </c>
      <c r="D11" s="22" t="n">
        <v>2</v>
      </c>
      <c r="E11" s="22" t="n">
        <v>20</v>
      </c>
      <c r="F11" s="3" t="inlineStr"/>
    </row>
    <row r="12">
      <c r="A12" s="3" t="inlineStr">
        <is>
          <t>Security</t>
        </is>
      </c>
      <c r="B12" s="22" t="n">
        <v>8</v>
      </c>
      <c r="C12" s="22" t="n">
        <v>8</v>
      </c>
      <c r="D12" s="22" t="n">
        <v>1</v>
      </c>
      <c r="E12" s="22" t="n">
        <v>9</v>
      </c>
      <c r="F12" s="3" t="inlineStr">
        <is>
          <t>Priya Sharma (CISO)</t>
        </is>
      </c>
    </row>
    <row r="13">
      <c r="A13" s="23" t="inlineStr">
        <is>
          <t>TOTAL</t>
        </is>
      </c>
      <c r="B13" s="24">
        <f>SUM(B3:B12)</f>
        <v/>
      </c>
      <c r="C13" s="24">
        <f>SUM(C3:C12)</f>
        <v/>
      </c>
      <c r="D13" s="24">
        <f>SUM(D3:D12)</f>
        <v/>
      </c>
      <c r="E13" s="24">
        <f>SUM(E3:E12)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2026-05-27T18:39:01Z</dcterms:created>
  <dcterms:modified xmlns:dcterms="http://purl.org/dc/terms/" xmlns:xsi="http://www.w3.org/2001/XMLSchema-instance" xsi:type="dcterms:W3CDTF">2026-05-27T18:39:01Z</dcterms:modified>
</cp:coreProperties>
</file>